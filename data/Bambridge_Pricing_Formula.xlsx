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ombambridge/Desktop/"/>
    </mc:Choice>
  </mc:AlternateContent>
  <xr:revisionPtr revIDLastSave="0" documentId="8_{2E193E06-4426-7D45-8626-05544AAEC4E8}" xr6:coauthVersionLast="47" xr6:coauthVersionMax="47" xr10:uidLastSave="{00000000-0000-0000-0000-000000000000}"/>
  <bookViews>
    <workbookView xWindow="0" yWindow="660" windowWidth="34560" windowHeight="19960" xr2:uid="{00000000-000D-0000-FFFF-FFFF00000000}"/>
  </bookViews>
  <sheets>
    <sheet name="Bambridge Pricing Formula" sheetId="1" r:id="rId1"/>
    <sheet name="Market Research 2025-26" sheetId="2" r:id="rId2"/>
    <sheet name="Bambridge vs Mark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1" l="1"/>
  <c r="C89" i="1"/>
  <c r="C88" i="1"/>
  <c r="C87" i="1"/>
  <c r="C86" i="1"/>
  <c r="C85" i="1"/>
  <c r="C84" i="1"/>
  <c r="C83" i="1"/>
  <c r="C82" i="1"/>
  <c r="C81" i="1"/>
  <c r="C80" i="1"/>
  <c r="C79" i="1"/>
  <c r="C78" i="1"/>
  <c r="C92" i="1" s="1"/>
  <c r="D54" i="1"/>
  <c r="C23" i="1"/>
  <c r="C22" i="1"/>
  <c r="C21" i="1"/>
  <c r="C20" i="1"/>
  <c r="C32" i="1"/>
</calcChain>
</file>

<file path=xl/sharedStrings.xml><?xml version="1.0" encoding="utf-8"?>
<sst xmlns="http://schemas.openxmlformats.org/spreadsheetml/2006/main" count="491" uniqueCount="316">
  <si>
    <t>BAMBRIDGE RENEWABLES — LABOUR &amp; SCAFFOLDING PRICING FORMULA</t>
  </si>
  <si>
    <t>Internal use only  |  Rates agreed June 2026  |  Review annually</t>
  </si>
  <si>
    <t xml:space="preserve">  LABOUR — BASE RATES (agreed formula)</t>
  </si>
  <si>
    <t>Item</t>
  </si>
  <si>
    <t>Rate (£)</t>
  </si>
  <si>
    <t>Unit</t>
  </si>
  <si>
    <t>Notes</t>
  </si>
  <si>
    <t>Solar panels</t>
  </si>
  <si>
    <t>per panel</t>
  </si>
  <si>
    <t>Covers roof work, mounting, wiring each panel</t>
  </si>
  <si>
    <t>Battery storage install</t>
  </si>
  <si>
    <t>per battery</t>
  </si>
  <si>
    <t>Additional labour per battery unit connected</t>
  </si>
  <si>
    <t>AC electrical materials</t>
  </si>
  <si>
    <t>fixed</t>
  </si>
  <si>
    <t>Consumer unit, isolators, cable, misc AC parts</t>
  </si>
  <si>
    <t>EV charger add-on</t>
  </si>
  <si>
    <t>If EV charger fitted on same visit</t>
  </si>
  <si>
    <t xml:space="preserve">  SCAFFOLDING — BY PROPERTY HEIGHT / COMPLEXITY</t>
  </si>
  <si>
    <t>Scenario</t>
  </si>
  <si>
    <t>Description</t>
  </si>
  <si>
    <t>Ground floor / bungalow</t>
  </si>
  <si>
    <t>Scaffold tower only, easy access</t>
  </si>
  <si>
    <t>Single storey extension</t>
  </si>
  <si>
    <t>Low-pitch or flat roof addition</t>
  </si>
  <si>
    <t>Two storey property</t>
  </si>
  <si>
    <t>Standard two-storey semi/detached (agreed rate)</t>
  </si>
  <si>
    <t>Two storey + complex roof</t>
  </si>
  <si>
    <t>Hipped/multi-plane or awkward access</t>
  </si>
  <si>
    <t>Three storey / terrace</t>
  </si>
  <si>
    <t>Full scaffolding, longer erect/strike time</t>
  </si>
  <si>
    <t xml:space="preserve">  EXAMPLE JOB CALCULATIONS</t>
  </si>
  <si>
    <t>Job Description</t>
  </si>
  <si>
    <t>Formula</t>
  </si>
  <si>
    <t>Total Services (£)</t>
  </si>
  <si>
    <t>Ross Michael (9 panels, no battery, 2-storey)</t>
  </si>
  <si>
    <t>9×£80 + £400 AC + £800 scaffold</t>
  </si>
  <si>
    <t>12 Myrddin Crescent, Carmarthen</t>
  </si>
  <si>
    <t>10 Orchard Close (15 panels, 2 batteries, 2-storey)</t>
  </si>
  <si>
    <t>15×£80 + 2×£220 + £400 AC + £800 scaffold</t>
  </si>
  <si>
    <t>Towcester NN12 6JB</t>
  </si>
  <si>
    <t>Small bungalow (6 panels, 1 battery)</t>
  </si>
  <si>
    <t>6×£80 + £220 + £400 AC + £400 scaffold</t>
  </si>
  <si>
    <t>Single storey, easy access</t>
  </si>
  <si>
    <t>Large install (20 panels, 2 batteries, 2-storey)</t>
  </si>
  <si>
    <t>20×£80 + 2×£220 + £400 AC + £800 scaffold</t>
  </si>
  <si>
    <t>Full day+, larger team</t>
  </si>
  <si>
    <t xml:space="preserve">  QUICK CALCULATOR — enter values below (blue cells)</t>
  </si>
  <si>
    <t>Input</t>
  </si>
  <si>
    <t>Value</t>
  </si>
  <si>
    <t>Calculated (£)</t>
  </si>
  <si>
    <t>Number of panels</t>
  </si>
  <si>
    <t>Number of batteries</t>
  </si>
  <si>
    <t>Scaffolding cost</t>
  </si>
  <si>
    <t>(from table above)</t>
  </si>
  <si>
    <t>AC materials (fixed)</t>
  </si>
  <si>
    <t>Change only if non-standard</t>
  </si>
  <si>
    <t>EV charger add-on?</t>
  </si>
  <si>
    <t>Enter 150 if applicable, else 0</t>
  </si>
  <si>
    <t>TOTAL SERVICES COST</t>
  </si>
  <si>
    <t xml:space="preserve">  FRAME / RACKING INSTALLATION</t>
  </si>
  <si>
    <t>Single roof face — rail install</t>
  </si>
  <si>
    <t>fixed per face</t>
  </si>
  <si>
    <t>Measure, cut, fix rails to roof. Includes hooks/clamps</t>
  </si>
  <si>
    <t>Second roof face (split array)</t>
  </si>
  <si>
    <t>per extra face</t>
  </si>
  <si>
    <t>Additional face adds time for layout &amp; extra run</t>
  </si>
  <si>
    <t>Flat roof / ballast frame</t>
  </si>
  <si>
    <t>Ballast frames or pitched frames — more complex</t>
  </si>
  <si>
    <t>Ground mount frame</t>
  </si>
  <si>
    <t>Ground mounting posts, frame assembly, levelling</t>
  </si>
  <si>
    <t xml:space="preserve">  STRINGING &amp; DC WIRING</t>
  </si>
  <si>
    <t>DC stringing labour</t>
  </si>
  <si>
    <t>Run DC cable, fit MC4 connectors, label each string</t>
  </si>
  <si>
    <t>Single string to inverter</t>
  </si>
  <si>
    <t>fixed per string</t>
  </si>
  <si>
    <t>Terminate string at inverter, test open-circuit voltage</t>
  </si>
  <si>
    <t>Additional strings (2nd, 3rd etc.)</t>
  </si>
  <si>
    <t>per extra string</t>
  </si>
  <si>
    <t>Each extra string needing separate DC run</t>
  </si>
  <si>
    <t>DC isolator installation</t>
  </si>
  <si>
    <t>Roof-level DC isolator fitting &amp; labelling</t>
  </si>
  <si>
    <t>Earthing / bonding</t>
  </si>
  <si>
    <t>Array earth bond, DC earth rod if required</t>
  </si>
  <si>
    <t xml:space="preserve">  G99 / G98 COMMISSIONING &amp; MCS REGISTRATION</t>
  </si>
  <si>
    <t>G98 admin (systems ≤3.68kW)</t>
  </si>
  <si>
    <t>Notification only — no DNO approval needed, no fee</t>
  </si>
  <si>
    <t>G99 admin + DNO submission</t>
  </si>
  <si>
    <t>Prepare &amp; submit G99 form, handle DNO queries</t>
  </si>
  <si>
    <t>G99 commissioning visit</t>
  </si>
  <si>
    <t>Return site visit: test protection, complete G99/1-4</t>
  </si>
  <si>
    <t>G99 total (admin + commission)</t>
  </si>
  <si>
    <t>MCS registration per project</t>
  </si>
  <si>
    <t>MCS scheme fee per registered installation</t>
  </si>
  <si>
    <t>EPC / EESS commissioning record</t>
  </si>
  <si>
    <t>Battery EESS commissioning form completion &amp; filing</t>
  </si>
  <si>
    <t>Building regs notification (where required)</t>
  </si>
  <si>
    <t>Some councils require notification for roof work</t>
  </si>
  <si>
    <t xml:space="preserve">  INVERTER / BATTERY CONNECTION &amp; COMMISSIONING</t>
  </si>
  <si>
    <t>Inverter wall mount &amp; DC connect</t>
  </si>
  <si>
    <t>Mount inverter, connect DC strings, earth bond</t>
  </si>
  <si>
    <t>AC connection to consumer unit</t>
  </si>
  <si>
    <t>Run AC cable, fit AC isolator, connect to CU</t>
  </si>
  <si>
    <t>Hybrid inverter (extra complexity)</t>
  </si>
  <si>
    <t>Hybrid adds CT clamp, EPS wiring, comms setup</t>
  </si>
  <si>
    <t>Battery rack &amp; DC bus connection</t>
  </si>
  <si>
    <t>Mount battery, connect DC bus, BMS comms wiring</t>
  </si>
  <si>
    <t>Inverter commissioning &amp; setup</t>
  </si>
  <si>
    <t>Configure settings, WiFi, export limit, test run</t>
  </si>
  <si>
    <t>Smart meter / CT clamp install</t>
  </si>
  <si>
    <t>If CT clamp or smart meter needed for monitoring</t>
  </si>
  <si>
    <t xml:space="preserve">  FULL QUICK CALCULATOR — all cost components (blue = enter your values)</t>
  </si>
  <si>
    <t>Cost Component</t>
  </si>
  <si>
    <t>Value / Qty</t>
  </si>
  <si>
    <t>Sub-total (£)</t>
  </si>
  <si>
    <t>No. of panels</t>
  </si>
  <si>
    <t>Enter number of panels</t>
  </si>
  <si>
    <t>No. of batteries</t>
  </si>
  <si>
    <t>Enter number of batteries</t>
  </si>
  <si>
    <t>No. of roof faces</t>
  </si>
  <si>
    <t>1 = single face, 2 = split array</t>
  </si>
  <si>
    <t>No. of DC strings</t>
  </si>
  <si>
    <t>Typically 1 string per inverter input</t>
  </si>
  <si>
    <t>From scaffolding table above</t>
  </si>
  <si>
    <t>G99 required? (1=yes, 0=no)</t>
  </si>
  <si>
    <t>Systems &gt;3.68kW need G99</t>
  </si>
  <si>
    <t>EV charger add-on? (1=yes, 0=no)</t>
  </si>
  <si>
    <t>Enter 1 if fitting EV charger same day</t>
  </si>
  <si>
    <t>Panel labour (panels × £80)</t>
  </si>
  <si>
    <t>DC stringing (panels × £25)</t>
  </si>
  <si>
    <t>Battery install (batteries × £220)</t>
  </si>
  <si>
    <t>Battery DC bus (batteries × £100)</t>
  </si>
  <si>
    <t>Frame/rail install (faces × £150)</t>
  </si>
  <si>
    <t>Strings to inverter (strings × £50)</t>
  </si>
  <si>
    <t>Inverter mount &amp; AC connection</t>
  </si>
  <si>
    <t>Scaffolding</t>
  </si>
  <si>
    <t>G99 admin + commissioning (if G99)</t>
  </si>
  <si>
    <t>MCS registration</t>
  </si>
  <si>
    <t>EV charger add-on (if applicable)</t>
  </si>
  <si>
    <t xml:space="preserve">  ADD-ON / OPTIONAL EXTRAS</t>
  </si>
  <si>
    <t>New consumer unit (fuseboard)</t>
  </si>
  <si>
    <t>Supply &amp; fit new CU — required if existing is outdated/full</t>
  </si>
  <si>
    <t>Warranty — IWA backed (per job)</t>
  </si>
  <si>
    <t>fixed per job</t>
  </si>
  <si>
    <t>Per-job IWA warranty issuance cost (£60) + 1hr admin. Membership already paid.</t>
  </si>
  <si>
    <t>Dedicated solar circuit breaker</t>
  </si>
  <si>
    <t>Additional MCB / RCBO in CU for solar AC output</t>
  </si>
  <si>
    <t>WiFi / monitoring setup</t>
  </si>
  <si>
    <t>Connect inverter to WiFi, set up customer app account</t>
  </si>
  <si>
    <t>Extra DC cable run (per 5m)</t>
  </si>
  <si>
    <t>per 5m</t>
  </si>
  <si>
    <t>If inverter is far from array — long DC cable run</t>
  </si>
  <si>
    <t>Carport / pergola solar</t>
  </si>
  <si>
    <t>fixed extra</t>
  </si>
  <si>
    <t>Structural fixing, weatherproofing, additional labour</t>
  </si>
  <si>
    <t>▌ COMPLETE BAMBRIDGE RATE CARD — ALL COST COMPONENTS</t>
  </si>
  <si>
    <t xml:space="preserve">  1. CORE LABOUR</t>
  </si>
  <si>
    <t>Solar panel installation</t>
  </si>
  <si>
    <t>Roof work, lifting, securing each panel to rails</t>
  </si>
  <si>
    <t>Frame / rail installation</t>
  </si>
  <si>
    <t>per roof face</t>
  </si>
  <si>
    <t>Measure, cut, fix rails, hooks &amp; clamps</t>
  </si>
  <si>
    <t>Extra roof face (split array)</t>
  </si>
  <si>
    <t>Additional face layout &amp; cable run</t>
  </si>
  <si>
    <t>Run DC cable, fit MC4 connectors, label strings</t>
  </si>
  <si>
    <t>First DC string to inverter</t>
  </si>
  <si>
    <t>Terminate &amp; test string at inverter</t>
  </si>
  <si>
    <t>Additional DC strings</t>
  </si>
  <si>
    <t>per string</t>
  </si>
  <si>
    <t>Each string beyond the first</t>
  </si>
  <si>
    <t>DC isolator fitting</t>
  </si>
  <si>
    <t>Roof-level isolator, label &amp; sign</t>
  </si>
  <si>
    <t>Earthing &amp; bonding</t>
  </si>
  <si>
    <t>Inverter wall mount &amp; DC</t>
  </si>
  <si>
    <t>Mount inverter, connect DC strings, earth</t>
  </si>
  <si>
    <t>Hybrid inverter (extra)</t>
  </si>
  <si>
    <t>CT clamp, EPS wiring, comms — hybrid only</t>
  </si>
  <si>
    <t>Settings, WiFi, export limit, test run</t>
  </si>
  <si>
    <t>Smart meter / CT clamp</t>
  </si>
  <si>
    <t>If CT clamp or smart meter needed</t>
  </si>
  <si>
    <t>WiFi / monitoring app setup</t>
  </si>
  <si>
    <t>Connect to WiFi, set up customer app account</t>
  </si>
  <si>
    <t xml:space="preserve">  2. BATTERY STORAGE</t>
  </si>
  <si>
    <t>Full battery installation labour</t>
  </si>
  <si>
    <t>Battery rack &amp; DC bus wiring</t>
  </si>
  <si>
    <t>Mount, connect DC bus, BMS comms wiring</t>
  </si>
  <si>
    <t>EESS commissioning record</t>
  </si>
  <si>
    <t>Complete &amp; file battery commissioning form</t>
  </si>
  <si>
    <t xml:space="preserve">  3. SCAFFOLDING</t>
  </si>
  <si>
    <t>Bungalow / single storey</t>
  </si>
  <si>
    <t>Standard two-storey semi/detached — AGREED RATE</t>
  </si>
  <si>
    <t xml:space="preserve">  4. ADMIN, COMPLIANCE &amp; WARRANTIES</t>
  </si>
  <si>
    <t>Notification only — no return visit needed</t>
  </si>
  <si>
    <t>G99 admin — DNO submission</t>
  </si>
  <si>
    <t>Prepare &amp; submit G99, handle DNO queries</t>
  </si>
  <si>
    <t>Return site visit: test protection, G99/1-4 sign-off</t>
  </si>
  <si>
    <t>Both above combined for G99 jobs</t>
  </si>
  <si>
    <t>MCS registration per job</t>
  </si>
  <si>
    <t>MCS scheme registration fee per installation</t>
  </si>
  <si>
    <t>IWA warranty per job</t>
  </si>
  <si>
    <t>Per-job issuance cost + 1hr admin (membership already paid)</t>
  </si>
  <si>
    <t>Building regs notification</t>
  </si>
  <si>
    <t>Where required by local council</t>
  </si>
  <si>
    <t xml:space="preserve">  5. OPTIONAL EXTRAS / ADD-ONS</t>
  </si>
  <si>
    <t>Supply &amp; fit new CU — if existing is full/outdated</t>
  </si>
  <si>
    <t>Isolators, cable, misc AC parts — included in most jobs</t>
  </si>
  <si>
    <t>Extra DC cable run</t>
  </si>
  <si>
    <t>If inverter is far from array</t>
  </si>
  <si>
    <t>Dedicated solar MCB/RCBO</t>
  </si>
  <si>
    <t>Additional breaker in CU for solar output</t>
  </si>
  <si>
    <t>per face</t>
  </si>
  <si>
    <t>Ballast/pitched frame — more complex than tile</t>
  </si>
  <si>
    <t>Structural fixing, weatherproofing, extra labour</t>
  </si>
  <si>
    <t>Use the Quick Calculator above (rows 68–92) to total a specific job — enter quantities in blue cells.</t>
  </si>
  <si>
    <t>UK SOLAR INSTALLATION PRICING — MARKET RESEARCH (2025–2026)</t>
  </si>
  <si>
    <t>Sourced June 2026 from: Checkatrade, GreenMatch, Spartek, EcoFlow, MyjobQuote, SolarGuide, Sunsave, Heatable, SwitchTogether</t>
  </si>
  <si>
    <t xml:space="preserve">  LABOUR COSTS — INDUSTRY BENCHMARKS</t>
  </si>
  <si>
    <t>Category</t>
  </si>
  <si>
    <t>Low (£)</t>
  </si>
  <si>
    <t>High (£)</t>
  </si>
  <si>
    <t>Typical (£)</t>
  </si>
  <si>
    <t>Source / Notes</t>
  </si>
  <si>
    <t>Daily rate per installer</t>
  </si>
  <si>
    <t>Checkatrade 2026 — 2 installers typical</t>
  </si>
  <si>
    <t>Labour % of total install cost</t>
  </si>
  <si>
    <t>25%</t>
  </si>
  <si>
    <t>40%</t>
  </si>
  <si>
    <t>30%</t>
  </si>
  <si>
    <t>Industry average UK 2025</t>
  </si>
  <si>
    <t>Labour cost per kW installed</t>
  </si>
  <si>
    <t>GreenMatch / Heatable 2025</t>
  </si>
  <si>
    <t>Labour per watt (pence)</t>
  </si>
  <si>
    <t>20p</t>
  </si>
  <si>
    <t>30p</t>
  </si>
  <si>
    <t>25p</t>
  </si>
  <si>
    <t>Common industry per-watt rate</t>
  </si>
  <si>
    <t>Small system (1–4 kW) labour</t>
  </si>
  <si>
    <t>Checkatrade / SwitchTogether 2026</t>
  </si>
  <si>
    <t>Medium system (4–8 kW) labour</t>
  </si>
  <si>
    <t>EcoFlow UK / Solar4Good 2026</t>
  </si>
  <si>
    <t>Large system (8–12 kW) labour</t>
  </si>
  <si>
    <t>MyjobQuote 2026</t>
  </si>
  <si>
    <t xml:space="preserve">  SCAFFOLDING COSTS — INDUSTRY BENCHMARKS</t>
  </si>
  <si>
    <t>Spartek.co.uk — scaffold tower only</t>
  </si>
  <si>
    <t>Two storey standard</t>
  </si>
  <si>
    <t>Checkatrade / Spartek 2026</t>
  </si>
  <si>
    <t>Two storey complex/hipped roof</t>
  </si>
  <si>
    <t>MyjobQuote — multiple elevations</t>
  </si>
  <si>
    <t>Checkatrade / EcoFlow 2026</t>
  </si>
  <si>
    <t>Fixed cost allowance (all jobs)</t>
  </si>
  <si>
    <t>Included by many installers in base quote</t>
  </si>
  <si>
    <t xml:space="preserve">  BATTERY STORAGE INSTALLATION — INDUSTRY BENCHMARKS</t>
  </si>
  <si>
    <t>Battery install (with solar, same day)</t>
  </si>
  <si>
    <t>SolarGuide / Sunsave 2026</t>
  </si>
  <si>
    <t>Battery retrofit (after solar)</t>
  </si>
  <si>
    <t>Checkatrade / MyjobQuote 2026</t>
  </si>
  <si>
    <t>Additional battery (2nd unit)</t>
  </si>
  <si>
    <t>Industry typical add-on labour</t>
  </si>
  <si>
    <t>Consumer unit upgrade if needed</t>
  </si>
  <si>
    <t>EcoFlow / Heatable 2026</t>
  </si>
  <si>
    <t>Full battery system (labour only)</t>
  </si>
  <si>
    <t xml:space="preserve">  TOTAL INSTALLED PRICES — CUSTOMER FACING (inc. materials + labour)</t>
  </si>
  <si>
    <t>System Size</t>
  </si>
  <si>
    <t>3–4 kW (6–9 panels, no battery)</t>
  </si>
  <si>
    <t>GreenMatch / Heatable 2026</t>
  </si>
  <si>
    <t>4–6 kW (10–14 panels, no battery)</t>
  </si>
  <si>
    <t>6–8 kW (14–18 panels, no battery)</t>
  </si>
  <si>
    <t>Solar4Good / EcoFlow 2026</t>
  </si>
  <si>
    <t>+ 5kWh battery add-on</t>
  </si>
  <si>
    <t>+ 10kWh battery add-on</t>
  </si>
  <si>
    <t>MyjobQuote / Checkatrade 2026</t>
  </si>
  <si>
    <t>Full hybrid 8kW + 10kWh battery</t>
  </si>
  <si>
    <t>BAMBRIDGE RATES vs MARKET — COMPETITIVENESS CHECK</t>
  </si>
  <si>
    <t>Rate Item</t>
  </si>
  <si>
    <t>Bambridge (£)</t>
  </si>
  <si>
    <t>Market Low (£)</t>
  </si>
  <si>
    <t>Market High (£)</t>
  </si>
  <si>
    <t>Assessment</t>
  </si>
  <si>
    <t>Labour per panel</t>
  </si>
  <si>
    <t>£80</t>
  </si>
  <si>
    <t>£50</t>
  </si>
  <si>
    <t>£120</t>
  </si>
  <si>
    <t>✅ Well within market range</t>
  </si>
  <si>
    <t>Battery install (each)</t>
  </si>
  <si>
    <t>£220</t>
  </si>
  <si>
    <t>£150</t>
  </si>
  <si>
    <t>£350</t>
  </si>
  <si>
    <t>✅ Competitive — lean rate</t>
  </si>
  <si>
    <t>£400</t>
  </si>
  <si>
    <t>£300</t>
  </si>
  <si>
    <t>£800</t>
  </si>
  <si>
    <t>✅ Fair — covers most scenarios</t>
  </si>
  <si>
    <t>Scaffold – 2 storey</t>
  </si>
  <si>
    <t>£1,200</t>
  </si>
  <si>
    <t>✅ Market mid-range</t>
  </si>
  <si>
    <t>Scaffold – bungalow</t>
  </si>
  <si>
    <t>£200</t>
  </si>
  <si>
    <t>£500</t>
  </si>
  <si>
    <t>✅ Reasonable</t>
  </si>
  <si>
    <t>Scaffold – 3 storey</t>
  </si>
  <si>
    <t>£1,400</t>
  </si>
  <si>
    <t>£1,000</t>
  </si>
  <si>
    <t>£1,500</t>
  </si>
  <si>
    <t>✅ Upper end, reflects complexity</t>
  </si>
  <si>
    <t>SUMMARY: Bambridge rates are competitive and professional. Labour at £80/panel is towards the lower-mid market, leaving room to increase margins on complex jobs.</t>
  </si>
  <si>
    <t>Frame/rail install (per face)</t>
  </si>
  <si>
    <t>£100</t>
  </si>
  <si>
    <t>✅ Lean — reflects standard tile roof</t>
  </si>
  <si>
    <t>DC stringing (per panel)</t>
  </si>
  <si>
    <t>£25</t>
  </si>
  <si>
    <t>£15</t>
  </si>
  <si>
    <t>✅ Fair mid-market rate</t>
  </si>
  <si>
    <t>✅ Competitive</t>
  </si>
  <si>
    <t>G99 admin + commissioning</t>
  </si>
  <si>
    <t>✅ Covers 2nd site visit cost</t>
  </si>
  <si>
    <t>✅ Standard pass-through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</si>
</sst>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9"/>
      <color rgb="FF94A3B8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16A34A"/>
      <name val="Arial"/>
      <family val="2"/>
    </font>
    <font>
      <b/>
      <sz val="11"/>
      <color rgb="FFF59E0B"/>
      <name val="Arial"/>
      <family val="2"/>
    </font>
    <font>
      <b/>
      <sz val="13"/>
      <color rgb="FFFFFFFF"/>
      <name val="Arial"/>
      <family val="2"/>
    </font>
    <font>
      <sz val="8"/>
      <color rgb="FF94A3B8"/>
      <name val="Arial"/>
      <family val="2"/>
    </font>
    <font>
      <sz val="10"/>
      <color rgb="FF16A34A"/>
      <name val="Arial"/>
      <family val="2"/>
    </font>
    <font>
      <b/>
      <sz val="10"/>
      <color rgb="FF0F172A"/>
      <name val="Arial"/>
      <family val="2"/>
    </font>
    <font>
      <sz val="9"/>
      <color rgb="FF64748B"/>
      <name val="Arial"/>
      <family val="2"/>
    </font>
    <font>
      <b/>
      <sz val="12"/>
      <color rgb="FFFFFFFF"/>
      <name val="Arial"/>
      <family val="2"/>
    </font>
    <font>
      <b/>
      <sz val="12"/>
      <color rgb="FFF59E0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59E0B"/>
        <bgColor rgb="FFF59E0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7" fillId="4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0" fontId="0" fillId="2" borderId="0" xfId="0" applyFill="1"/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13" fillId="4" borderId="1" xfId="0" applyFont="1" applyFill="1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13" fillId="5" borderId="1" xfId="0" applyFont="1" applyFill="1" applyBorder="1" applyAlignment="1">
      <alignment horizontal="left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tabSelected="1" topLeftCell="A122" workbookViewId="0">
      <selection sqref="A1:D1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3" width="22" customWidth="1"/>
    <col min="4" max="4" width="40" customWidth="1"/>
  </cols>
  <sheetData>
    <row r="1" spans="1:4" ht="30" customHeight="1" x14ac:dyDescent="0.2">
      <c r="A1" s="26" t="s">
        <v>0</v>
      </c>
      <c r="B1" s="24"/>
      <c r="C1" s="24"/>
      <c r="D1" s="24"/>
    </row>
    <row r="2" spans="1:4" x14ac:dyDescent="0.2">
      <c r="A2" s="29" t="s">
        <v>1</v>
      </c>
      <c r="B2" s="24"/>
      <c r="C2" s="24"/>
      <c r="D2" s="24"/>
    </row>
    <row r="3" spans="1:4" ht="20" customHeight="1" x14ac:dyDescent="0.2">
      <c r="A3" s="25" t="s">
        <v>2</v>
      </c>
      <c r="B3" s="24"/>
      <c r="C3" s="24"/>
      <c r="D3" s="24"/>
    </row>
    <row r="4" spans="1:4" ht="18" customHeight="1" x14ac:dyDescent="0.2">
      <c r="A4" s="1" t="s">
        <v>3</v>
      </c>
      <c r="B4" s="1" t="s">
        <v>4</v>
      </c>
      <c r="C4" s="1" t="s">
        <v>5</v>
      </c>
      <c r="D4" s="1" t="s">
        <v>6</v>
      </c>
    </row>
    <row r="5" spans="1:4" x14ac:dyDescent="0.2">
      <c r="A5" s="2" t="s">
        <v>7</v>
      </c>
      <c r="B5" s="3">
        <v>80</v>
      </c>
      <c r="C5" s="4" t="s">
        <v>8</v>
      </c>
      <c r="D5" s="2" t="s">
        <v>9</v>
      </c>
    </row>
    <row r="6" spans="1:4" x14ac:dyDescent="0.2">
      <c r="A6" s="5" t="s">
        <v>10</v>
      </c>
      <c r="B6" s="6">
        <v>220</v>
      </c>
      <c r="C6" s="7" t="s">
        <v>11</v>
      </c>
      <c r="D6" s="5" t="s">
        <v>12</v>
      </c>
    </row>
    <row r="7" spans="1:4" x14ac:dyDescent="0.2">
      <c r="A7" s="2" t="s">
        <v>13</v>
      </c>
      <c r="B7" s="3">
        <v>400</v>
      </c>
      <c r="C7" s="4" t="s">
        <v>14</v>
      </c>
      <c r="D7" s="2" t="s">
        <v>15</v>
      </c>
    </row>
    <row r="8" spans="1:4" x14ac:dyDescent="0.2">
      <c r="A8" s="5" t="s">
        <v>16</v>
      </c>
      <c r="B8" s="6">
        <v>150</v>
      </c>
      <c r="C8" s="7" t="s">
        <v>14</v>
      </c>
      <c r="D8" s="5" t="s">
        <v>17</v>
      </c>
    </row>
    <row r="10" spans="1:4" ht="20" customHeight="1" x14ac:dyDescent="0.2">
      <c r="A10" s="25" t="s">
        <v>18</v>
      </c>
      <c r="B10" s="24"/>
      <c r="C10" s="24"/>
      <c r="D10" s="24"/>
    </row>
    <row r="11" spans="1:4" ht="18" customHeight="1" x14ac:dyDescent="0.2">
      <c r="A11" s="1" t="s">
        <v>19</v>
      </c>
      <c r="B11" s="1" t="s">
        <v>4</v>
      </c>
      <c r="C11" s="1" t="s">
        <v>5</v>
      </c>
      <c r="D11" s="1" t="s">
        <v>20</v>
      </c>
    </row>
    <row r="12" spans="1:4" x14ac:dyDescent="0.2">
      <c r="A12" s="2" t="s">
        <v>21</v>
      </c>
      <c r="B12" s="3">
        <v>400</v>
      </c>
      <c r="C12" s="4" t="s">
        <v>14</v>
      </c>
      <c r="D12" s="2" t="s">
        <v>22</v>
      </c>
    </row>
    <row r="13" spans="1:4" x14ac:dyDescent="0.2">
      <c r="A13" s="5" t="s">
        <v>23</v>
      </c>
      <c r="B13" s="6">
        <v>500</v>
      </c>
      <c r="C13" s="7" t="s">
        <v>14</v>
      </c>
      <c r="D13" s="5" t="s">
        <v>24</v>
      </c>
    </row>
    <row r="14" spans="1:4" x14ac:dyDescent="0.2">
      <c r="A14" s="2" t="s">
        <v>25</v>
      </c>
      <c r="B14" s="3">
        <v>800</v>
      </c>
      <c r="C14" s="4" t="s">
        <v>14</v>
      </c>
      <c r="D14" s="2" t="s">
        <v>26</v>
      </c>
    </row>
    <row r="15" spans="1:4" x14ac:dyDescent="0.2">
      <c r="A15" s="5" t="s">
        <v>27</v>
      </c>
      <c r="B15" s="6">
        <v>1000</v>
      </c>
      <c r="C15" s="7" t="s">
        <v>14</v>
      </c>
      <c r="D15" s="5" t="s">
        <v>28</v>
      </c>
    </row>
    <row r="16" spans="1:4" x14ac:dyDescent="0.2">
      <c r="A16" s="2" t="s">
        <v>29</v>
      </c>
      <c r="B16" s="3">
        <v>1400</v>
      </c>
      <c r="C16" s="4" t="s">
        <v>14</v>
      </c>
      <c r="D16" s="2" t="s">
        <v>30</v>
      </c>
    </row>
    <row r="18" spans="1:4" ht="20" customHeight="1" x14ac:dyDescent="0.2">
      <c r="A18" s="25" t="s">
        <v>31</v>
      </c>
      <c r="B18" s="24"/>
      <c r="C18" s="24"/>
      <c r="D18" s="24"/>
    </row>
    <row r="19" spans="1:4" ht="18" customHeight="1" x14ac:dyDescent="0.2">
      <c r="A19" s="1" t="s">
        <v>32</v>
      </c>
      <c r="B19" s="1" t="s">
        <v>33</v>
      </c>
      <c r="C19" s="1" t="s">
        <v>34</v>
      </c>
      <c r="D19" s="1" t="s">
        <v>6</v>
      </c>
    </row>
    <row r="20" spans="1:4" ht="28" x14ac:dyDescent="0.2">
      <c r="A20" s="2" t="s">
        <v>35</v>
      </c>
      <c r="B20" s="4" t="s">
        <v>36</v>
      </c>
      <c r="C20" s="8">
        <f>9*80+400+800</f>
        <v>1920</v>
      </c>
      <c r="D20" s="2" t="s">
        <v>37</v>
      </c>
    </row>
    <row r="21" spans="1:4" ht="42" x14ac:dyDescent="0.2">
      <c r="A21" s="5" t="s">
        <v>38</v>
      </c>
      <c r="B21" s="7" t="s">
        <v>39</v>
      </c>
      <c r="C21" s="9">
        <f>15*80+2*220+400+800</f>
        <v>2840</v>
      </c>
      <c r="D21" s="5" t="s">
        <v>40</v>
      </c>
    </row>
    <row r="22" spans="1:4" ht="42" x14ac:dyDescent="0.2">
      <c r="A22" s="2" t="s">
        <v>41</v>
      </c>
      <c r="B22" s="4" t="s">
        <v>42</v>
      </c>
      <c r="C22" s="8">
        <f>6*80+220+400+400</f>
        <v>1500</v>
      </c>
      <c r="D22" s="2" t="s">
        <v>43</v>
      </c>
    </row>
    <row r="23" spans="1:4" ht="42" x14ac:dyDescent="0.2">
      <c r="A23" s="5" t="s">
        <v>44</v>
      </c>
      <c r="B23" s="7" t="s">
        <v>45</v>
      </c>
      <c r="C23" s="9">
        <f>20*80+2*220+400+800</f>
        <v>3240</v>
      </c>
      <c r="D23" s="5" t="s">
        <v>46</v>
      </c>
    </row>
    <row r="25" spans="1:4" ht="20" customHeight="1" x14ac:dyDescent="0.2">
      <c r="A25" s="25" t="s">
        <v>47</v>
      </c>
      <c r="B25" s="24"/>
      <c r="C25" s="24"/>
      <c r="D25" s="24"/>
    </row>
    <row r="26" spans="1:4" ht="18" customHeight="1" x14ac:dyDescent="0.2">
      <c r="A26" s="1" t="s">
        <v>48</v>
      </c>
      <c r="B26" s="1" t="s">
        <v>49</v>
      </c>
      <c r="C26" s="1" t="s">
        <v>50</v>
      </c>
      <c r="D26" s="1"/>
    </row>
    <row r="27" spans="1:4" x14ac:dyDescent="0.2">
      <c r="A27" s="2" t="s">
        <v>51</v>
      </c>
      <c r="B27" s="3">
        <v>15</v>
      </c>
      <c r="C27" s="4"/>
      <c r="D27" s="2"/>
    </row>
    <row r="28" spans="1:4" x14ac:dyDescent="0.2">
      <c r="A28" s="5" t="s">
        <v>52</v>
      </c>
      <c r="B28" s="6">
        <v>2</v>
      </c>
      <c r="C28" s="7"/>
      <c r="D28" s="5"/>
    </row>
    <row r="29" spans="1:4" x14ac:dyDescent="0.2">
      <c r="A29" s="2" t="s">
        <v>53</v>
      </c>
      <c r="B29" s="3">
        <v>800</v>
      </c>
      <c r="C29" s="4"/>
      <c r="D29" s="2" t="s">
        <v>54</v>
      </c>
    </row>
    <row r="30" spans="1:4" x14ac:dyDescent="0.2">
      <c r="A30" s="5" t="s">
        <v>55</v>
      </c>
      <c r="B30" s="6">
        <v>400</v>
      </c>
      <c r="C30" s="7"/>
      <c r="D30" s="5" t="s">
        <v>56</v>
      </c>
    </row>
    <row r="31" spans="1:4" x14ac:dyDescent="0.2">
      <c r="A31" s="2" t="s">
        <v>57</v>
      </c>
      <c r="B31" s="3">
        <v>0</v>
      </c>
      <c r="C31" s="4"/>
      <c r="D31" s="2" t="s">
        <v>58</v>
      </c>
    </row>
    <row r="32" spans="1:4" ht="22" customHeight="1" x14ac:dyDescent="0.2">
      <c r="A32" s="27" t="s">
        <v>59</v>
      </c>
      <c r="B32" s="24"/>
      <c r="C32" s="10" t="str">
        <f ca="1">SUM(C31:C78)</f>
        <v/>
      </c>
      <c r="D32" s="11"/>
    </row>
    <row r="34" spans="1:4" ht="20" customHeight="1" x14ac:dyDescent="0.2">
      <c r="A34" s="25" t="s">
        <v>60</v>
      </c>
      <c r="B34" s="24"/>
      <c r="C34" s="24"/>
      <c r="D34" s="24"/>
    </row>
    <row r="35" spans="1:4" ht="18" customHeight="1" x14ac:dyDescent="0.2">
      <c r="A35" s="1" t="s">
        <v>3</v>
      </c>
      <c r="B35" s="1" t="s">
        <v>4</v>
      </c>
      <c r="C35" s="1" t="s">
        <v>5</v>
      </c>
      <c r="D35" s="1" t="s">
        <v>6</v>
      </c>
    </row>
    <row r="36" spans="1:4" ht="28" x14ac:dyDescent="0.2">
      <c r="A36" s="2" t="s">
        <v>61</v>
      </c>
      <c r="B36" s="3">
        <v>150</v>
      </c>
      <c r="C36" s="4" t="s">
        <v>62</v>
      </c>
      <c r="D36" s="2" t="s">
        <v>63</v>
      </c>
    </row>
    <row r="37" spans="1:4" x14ac:dyDescent="0.2">
      <c r="A37" s="5" t="s">
        <v>64</v>
      </c>
      <c r="B37" s="6">
        <v>100</v>
      </c>
      <c r="C37" s="7" t="s">
        <v>65</v>
      </c>
      <c r="D37" s="5" t="s">
        <v>66</v>
      </c>
    </row>
    <row r="38" spans="1:4" x14ac:dyDescent="0.2">
      <c r="A38" s="2" t="s">
        <v>67</v>
      </c>
      <c r="B38" s="3">
        <v>250</v>
      </c>
      <c r="C38" s="4" t="s">
        <v>62</v>
      </c>
      <c r="D38" s="2" t="s">
        <v>68</v>
      </c>
    </row>
    <row r="39" spans="1:4" ht="28" x14ac:dyDescent="0.2">
      <c r="A39" s="5" t="s">
        <v>69</v>
      </c>
      <c r="B39" s="6">
        <v>400</v>
      </c>
      <c r="C39" s="7" t="s">
        <v>14</v>
      </c>
      <c r="D39" s="5" t="s">
        <v>70</v>
      </c>
    </row>
    <row r="41" spans="1:4" ht="20" customHeight="1" x14ac:dyDescent="0.2">
      <c r="A41" s="25" t="s">
        <v>71</v>
      </c>
      <c r="B41" s="24"/>
      <c r="C41" s="24"/>
      <c r="D41" s="24"/>
    </row>
    <row r="42" spans="1:4" ht="18" customHeight="1" x14ac:dyDescent="0.2">
      <c r="A42" s="1" t="s">
        <v>3</v>
      </c>
      <c r="B42" s="1" t="s">
        <v>4</v>
      </c>
      <c r="C42" s="1" t="s">
        <v>5</v>
      </c>
      <c r="D42" s="1" t="s">
        <v>6</v>
      </c>
    </row>
    <row r="43" spans="1:4" ht="28" x14ac:dyDescent="0.2">
      <c r="A43" s="2" t="s">
        <v>72</v>
      </c>
      <c r="B43" s="3">
        <v>25</v>
      </c>
      <c r="C43" s="4" t="s">
        <v>8</v>
      </c>
      <c r="D43" s="2" t="s">
        <v>73</v>
      </c>
    </row>
    <row r="44" spans="1:4" ht="28" x14ac:dyDescent="0.2">
      <c r="A44" s="5" t="s">
        <v>74</v>
      </c>
      <c r="B44" s="6">
        <v>50</v>
      </c>
      <c r="C44" s="7" t="s">
        <v>75</v>
      </c>
      <c r="D44" s="5" t="s">
        <v>76</v>
      </c>
    </row>
    <row r="45" spans="1:4" x14ac:dyDescent="0.2">
      <c r="A45" s="2" t="s">
        <v>77</v>
      </c>
      <c r="B45" s="3">
        <v>40</v>
      </c>
      <c r="C45" s="4" t="s">
        <v>78</v>
      </c>
      <c r="D45" s="2" t="s">
        <v>79</v>
      </c>
    </row>
    <row r="46" spans="1:4" x14ac:dyDescent="0.2">
      <c r="A46" s="5" t="s">
        <v>80</v>
      </c>
      <c r="B46" s="6">
        <v>40</v>
      </c>
      <c r="C46" s="7" t="s">
        <v>14</v>
      </c>
      <c r="D46" s="5" t="s">
        <v>81</v>
      </c>
    </row>
    <row r="47" spans="1:4" x14ac:dyDescent="0.2">
      <c r="A47" s="2" t="s">
        <v>82</v>
      </c>
      <c r="B47" s="3">
        <v>60</v>
      </c>
      <c r="C47" s="4" t="s">
        <v>14</v>
      </c>
      <c r="D47" s="2" t="s">
        <v>83</v>
      </c>
    </row>
    <row r="49" spans="1:4" ht="20" customHeight="1" x14ac:dyDescent="0.2">
      <c r="A49" s="25" t="s">
        <v>84</v>
      </c>
      <c r="B49" s="24"/>
      <c r="C49" s="24"/>
      <c r="D49" s="24"/>
    </row>
    <row r="50" spans="1:4" ht="18" customHeight="1" x14ac:dyDescent="0.2">
      <c r="A50" s="1" t="s">
        <v>3</v>
      </c>
      <c r="B50" s="1" t="s">
        <v>4</v>
      </c>
      <c r="C50" s="1" t="s">
        <v>5</v>
      </c>
      <c r="D50" s="1" t="s">
        <v>6</v>
      </c>
    </row>
    <row r="51" spans="1:4" ht="28" x14ac:dyDescent="0.2">
      <c r="A51" s="2" t="s">
        <v>85</v>
      </c>
      <c r="B51" s="3">
        <v>0</v>
      </c>
      <c r="C51" s="4" t="s">
        <v>14</v>
      </c>
      <c r="D51" s="2" t="s">
        <v>86</v>
      </c>
    </row>
    <row r="52" spans="1:4" x14ac:dyDescent="0.2">
      <c r="A52" s="5" t="s">
        <v>87</v>
      </c>
      <c r="B52" s="6">
        <v>150</v>
      </c>
      <c r="C52" s="7" t="s">
        <v>14</v>
      </c>
      <c r="D52" s="5" t="s">
        <v>88</v>
      </c>
    </row>
    <row r="53" spans="1:4" ht="28" x14ac:dyDescent="0.2">
      <c r="A53" s="2" t="s">
        <v>89</v>
      </c>
      <c r="B53" s="3">
        <v>150</v>
      </c>
      <c r="C53" s="4" t="s">
        <v>14</v>
      </c>
      <c r="D53" s="2" t="s">
        <v>90</v>
      </c>
    </row>
    <row r="54" spans="1:4" x14ac:dyDescent="0.2">
      <c r="A54" s="5" t="s">
        <v>91</v>
      </c>
      <c r="B54" s="6">
        <v>300</v>
      </c>
      <c r="C54" s="7" t="s">
        <v>14</v>
      </c>
      <c r="D54" s="5" t="e">
        <f>G99 admin + commissioning visit combined</f>
        <v>#NAME?</v>
      </c>
    </row>
    <row r="55" spans="1:4" x14ac:dyDescent="0.2">
      <c r="A55" s="2" t="s">
        <v>92</v>
      </c>
      <c r="B55" s="3">
        <v>100</v>
      </c>
      <c r="C55" s="4" t="s">
        <v>14</v>
      </c>
      <c r="D55" s="2" t="s">
        <v>93</v>
      </c>
    </row>
    <row r="56" spans="1:4" ht="28" x14ac:dyDescent="0.2">
      <c r="A56" s="5" t="s">
        <v>94</v>
      </c>
      <c r="B56" s="6">
        <v>50</v>
      </c>
      <c r="C56" s="7" t="s">
        <v>14</v>
      </c>
      <c r="D56" s="5" t="s">
        <v>95</v>
      </c>
    </row>
    <row r="57" spans="1:4" ht="28" x14ac:dyDescent="0.2">
      <c r="A57" s="2" t="s">
        <v>96</v>
      </c>
      <c r="B57" s="3">
        <v>50</v>
      </c>
      <c r="C57" s="4" t="s">
        <v>14</v>
      </c>
      <c r="D57" s="2" t="s">
        <v>97</v>
      </c>
    </row>
    <row r="59" spans="1:4" ht="20" customHeight="1" x14ac:dyDescent="0.2">
      <c r="A59" s="25" t="s">
        <v>98</v>
      </c>
      <c r="B59" s="24"/>
      <c r="C59" s="24"/>
      <c r="D59" s="24"/>
    </row>
    <row r="60" spans="1:4" ht="18" customHeight="1" x14ac:dyDescent="0.2">
      <c r="A60" s="1" t="s">
        <v>3</v>
      </c>
      <c r="B60" s="1" t="s">
        <v>4</v>
      </c>
      <c r="C60" s="1" t="s">
        <v>5</v>
      </c>
      <c r="D60" s="1" t="s">
        <v>6</v>
      </c>
    </row>
    <row r="61" spans="1:4" x14ac:dyDescent="0.2">
      <c r="A61" s="2" t="s">
        <v>99</v>
      </c>
      <c r="B61" s="3">
        <v>80</v>
      </c>
      <c r="C61" s="4" t="s">
        <v>14</v>
      </c>
      <c r="D61" s="2" t="s">
        <v>100</v>
      </c>
    </row>
    <row r="62" spans="1:4" x14ac:dyDescent="0.2">
      <c r="A62" s="5" t="s">
        <v>101</v>
      </c>
      <c r="B62" s="6">
        <v>120</v>
      </c>
      <c r="C62" s="7" t="s">
        <v>14</v>
      </c>
      <c r="D62" s="5" t="s">
        <v>102</v>
      </c>
    </row>
    <row r="63" spans="1:4" x14ac:dyDescent="0.2">
      <c r="A63" s="2" t="s">
        <v>103</v>
      </c>
      <c r="B63" s="3">
        <v>150</v>
      </c>
      <c r="C63" s="4" t="s">
        <v>14</v>
      </c>
      <c r="D63" s="2" t="s">
        <v>104</v>
      </c>
    </row>
    <row r="64" spans="1:4" ht="28" x14ac:dyDescent="0.2">
      <c r="A64" s="5" t="s">
        <v>105</v>
      </c>
      <c r="B64" s="6">
        <v>100</v>
      </c>
      <c r="C64" s="7" t="s">
        <v>11</v>
      </c>
      <c r="D64" s="5" t="s">
        <v>106</v>
      </c>
    </row>
    <row r="65" spans="1:4" x14ac:dyDescent="0.2">
      <c r="A65" s="2" t="s">
        <v>107</v>
      </c>
      <c r="B65" s="3">
        <v>80</v>
      </c>
      <c r="C65" s="4" t="s">
        <v>14</v>
      </c>
      <c r="D65" s="2" t="s">
        <v>108</v>
      </c>
    </row>
    <row r="66" spans="1:4" x14ac:dyDescent="0.2">
      <c r="A66" s="5" t="s">
        <v>109</v>
      </c>
      <c r="B66" s="6">
        <v>60</v>
      </c>
      <c r="C66" s="7" t="s">
        <v>14</v>
      </c>
      <c r="D66" s="5" t="s">
        <v>110</v>
      </c>
    </row>
    <row r="68" spans="1:4" ht="20" customHeight="1" x14ac:dyDescent="0.2">
      <c r="A68" s="25" t="s">
        <v>111</v>
      </c>
      <c r="B68" s="24"/>
      <c r="C68" s="24"/>
      <c r="D68" s="24"/>
    </row>
    <row r="69" spans="1:4" ht="18" customHeight="1" x14ac:dyDescent="0.2">
      <c r="A69" s="1" t="s">
        <v>112</v>
      </c>
      <c r="B69" s="1" t="s">
        <v>113</v>
      </c>
      <c r="C69" s="1" t="s">
        <v>114</v>
      </c>
      <c r="D69" s="1" t="s">
        <v>6</v>
      </c>
    </row>
    <row r="70" spans="1:4" x14ac:dyDescent="0.2">
      <c r="A70" s="2" t="s">
        <v>115</v>
      </c>
      <c r="B70" s="14">
        <v>15</v>
      </c>
      <c r="C70" s="15"/>
      <c r="D70" s="16" t="s">
        <v>116</v>
      </c>
    </row>
    <row r="71" spans="1:4" x14ac:dyDescent="0.2">
      <c r="A71" s="5" t="s">
        <v>117</v>
      </c>
      <c r="B71" s="17">
        <v>2</v>
      </c>
      <c r="C71" s="18"/>
      <c r="D71" s="19" t="s">
        <v>118</v>
      </c>
    </row>
    <row r="72" spans="1:4" x14ac:dyDescent="0.2">
      <c r="A72" s="2" t="s">
        <v>119</v>
      </c>
      <c r="B72" s="14">
        <v>1</v>
      </c>
      <c r="C72" s="15"/>
      <c r="D72" s="16" t="s">
        <v>120</v>
      </c>
    </row>
    <row r="73" spans="1:4" x14ac:dyDescent="0.2">
      <c r="A73" s="5" t="s">
        <v>121</v>
      </c>
      <c r="B73" s="17">
        <v>1</v>
      </c>
      <c r="C73" s="18"/>
      <c r="D73" s="19" t="s">
        <v>122</v>
      </c>
    </row>
    <row r="74" spans="1:4" x14ac:dyDescent="0.2">
      <c r="A74" s="2" t="s">
        <v>53</v>
      </c>
      <c r="B74" s="14">
        <v>800</v>
      </c>
      <c r="C74" s="15"/>
      <c r="D74" s="16" t="s">
        <v>123</v>
      </c>
    </row>
    <row r="75" spans="1:4" x14ac:dyDescent="0.2">
      <c r="A75" s="5" t="s">
        <v>124</v>
      </c>
      <c r="B75" s="17">
        <v>1</v>
      </c>
      <c r="C75" s="18"/>
      <c r="D75" s="19" t="s">
        <v>125</v>
      </c>
    </row>
    <row r="76" spans="1:4" x14ac:dyDescent="0.2">
      <c r="A76" s="2" t="s">
        <v>126</v>
      </c>
      <c r="B76" s="14">
        <v>0</v>
      </c>
      <c r="C76" s="15"/>
      <c r="D76" s="16" t="s">
        <v>127</v>
      </c>
    </row>
    <row r="78" spans="1:4" x14ac:dyDescent="0.2">
      <c r="A78" s="2" t="s">
        <v>128</v>
      </c>
      <c r="B78" s="15"/>
      <c r="C78" s="20">
        <f>B70*80</f>
        <v>1200</v>
      </c>
      <c r="D78" s="15"/>
    </row>
    <row r="79" spans="1:4" x14ac:dyDescent="0.2">
      <c r="A79" s="5" t="s">
        <v>129</v>
      </c>
      <c r="B79" s="18"/>
      <c r="C79" s="21">
        <f>B70*25</f>
        <v>375</v>
      </c>
      <c r="D79" s="18"/>
    </row>
    <row r="80" spans="1:4" x14ac:dyDescent="0.2">
      <c r="A80" s="2" t="s">
        <v>130</v>
      </c>
      <c r="B80" s="15"/>
      <c r="C80" s="20">
        <f>B71*220</f>
        <v>440</v>
      </c>
      <c r="D80" s="15"/>
    </row>
    <row r="81" spans="1:4" x14ac:dyDescent="0.2">
      <c r="A81" s="5" t="s">
        <v>131</v>
      </c>
      <c r="B81" s="18"/>
      <c r="C81" s="21">
        <f>B71*100</f>
        <v>200</v>
      </c>
      <c r="D81" s="18"/>
    </row>
    <row r="82" spans="1:4" x14ac:dyDescent="0.2">
      <c r="A82" s="2" t="s">
        <v>132</v>
      </c>
      <c r="B82" s="15"/>
      <c r="C82" s="20">
        <f>B72*150</f>
        <v>150</v>
      </c>
      <c r="D82" s="15"/>
    </row>
    <row r="83" spans="1:4" x14ac:dyDescent="0.2">
      <c r="A83" s="5" t="s">
        <v>133</v>
      </c>
      <c r="B83" s="18"/>
      <c r="C83" s="21">
        <f>B73*50</f>
        <v>50</v>
      </c>
      <c r="D83" s="18"/>
    </row>
    <row r="84" spans="1:4" x14ac:dyDescent="0.2">
      <c r="A84" s="2" t="s">
        <v>134</v>
      </c>
      <c r="B84" s="15"/>
      <c r="C84" s="20">
        <f>200</f>
        <v>200</v>
      </c>
      <c r="D84" s="15"/>
    </row>
    <row r="85" spans="1:4" x14ac:dyDescent="0.2">
      <c r="A85" s="5" t="s">
        <v>107</v>
      </c>
      <c r="B85" s="18"/>
      <c r="C85" s="21">
        <f>80</f>
        <v>80</v>
      </c>
      <c r="D85" s="18"/>
    </row>
    <row r="86" spans="1:4" x14ac:dyDescent="0.2">
      <c r="A86" s="2" t="s">
        <v>13</v>
      </c>
      <c r="B86" s="15"/>
      <c r="C86" s="20">
        <f>400</f>
        <v>400</v>
      </c>
      <c r="D86" s="15"/>
    </row>
    <row r="87" spans="1:4" x14ac:dyDescent="0.2">
      <c r="A87" s="5" t="s">
        <v>135</v>
      </c>
      <c r="B87" s="18"/>
      <c r="C87" s="21">
        <f>B74</f>
        <v>800</v>
      </c>
      <c r="D87" s="18"/>
    </row>
    <row r="88" spans="1:4" x14ac:dyDescent="0.2">
      <c r="A88" s="2" t="s">
        <v>136</v>
      </c>
      <c r="B88" s="15"/>
      <c r="C88" s="20">
        <f>B75*300</f>
        <v>300</v>
      </c>
      <c r="D88" s="15"/>
    </row>
    <row r="89" spans="1:4" x14ac:dyDescent="0.2">
      <c r="A89" s="5" t="s">
        <v>137</v>
      </c>
      <c r="B89" s="18"/>
      <c r="C89" s="21">
        <f>100</f>
        <v>100</v>
      </c>
      <c r="D89" s="18"/>
    </row>
    <row r="90" spans="1:4" x14ac:dyDescent="0.2">
      <c r="A90" s="2" t="s">
        <v>138</v>
      </c>
      <c r="B90" s="15"/>
      <c r="C90" s="20">
        <f>B76*150</f>
        <v>0</v>
      </c>
      <c r="D90" s="15"/>
    </row>
    <row r="92" spans="1:4" ht="24" customHeight="1" x14ac:dyDescent="0.2">
      <c r="A92" s="23" t="s">
        <v>59</v>
      </c>
      <c r="B92" s="24"/>
      <c r="C92" s="22">
        <f>SUM(C78:C91)</f>
        <v>4295</v>
      </c>
      <c r="D92" s="11"/>
    </row>
    <row r="95" spans="1:4" ht="20" customHeight="1" x14ac:dyDescent="0.2">
      <c r="A95" s="25" t="s">
        <v>139</v>
      </c>
      <c r="B95" s="24"/>
      <c r="C95" s="24"/>
      <c r="D95" s="24"/>
    </row>
    <row r="96" spans="1:4" ht="18" customHeight="1" x14ac:dyDescent="0.2">
      <c r="A96" s="1" t="s">
        <v>3</v>
      </c>
      <c r="B96" s="1" t="s">
        <v>4</v>
      </c>
      <c r="C96" s="1" t="s">
        <v>5</v>
      </c>
      <c r="D96" s="1" t="s">
        <v>6</v>
      </c>
    </row>
    <row r="97" spans="1:4" ht="28" x14ac:dyDescent="0.2">
      <c r="A97" s="2" t="s">
        <v>140</v>
      </c>
      <c r="B97" s="3">
        <v>400</v>
      </c>
      <c r="C97" s="4" t="s">
        <v>14</v>
      </c>
      <c r="D97" s="2" t="s">
        <v>141</v>
      </c>
    </row>
    <row r="98" spans="1:4" ht="28" x14ac:dyDescent="0.2">
      <c r="A98" s="2" t="s">
        <v>142</v>
      </c>
      <c r="B98" s="3">
        <v>60</v>
      </c>
      <c r="C98" s="7" t="s">
        <v>143</v>
      </c>
      <c r="D98" s="2" t="s">
        <v>144</v>
      </c>
    </row>
    <row r="99" spans="1:4" ht="28" x14ac:dyDescent="0.2">
      <c r="A99" s="5" t="s">
        <v>142</v>
      </c>
      <c r="B99" s="6">
        <v>60</v>
      </c>
      <c r="C99" s="4" t="s">
        <v>143</v>
      </c>
      <c r="D99" s="5" t="s">
        <v>144</v>
      </c>
    </row>
    <row r="100" spans="1:4" x14ac:dyDescent="0.2">
      <c r="A100" s="5" t="s">
        <v>145</v>
      </c>
      <c r="B100" s="6">
        <v>60</v>
      </c>
      <c r="C100" s="7" t="s">
        <v>14</v>
      </c>
      <c r="D100" s="5" t="s">
        <v>146</v>
      </c>
    </row>
    <row r="101" spans="1:4" ht="28" x14ac:dyDescent="0.2">
      <c r="A101" s="2" t="s">
        <v>147</v>
      </c>
      <c r="B101" s="3">
        <v>50</v>
      </c>
      <c r="C101" s="4" t="s">
        <v>14</v>
      </c>
      <c r="D101" s="2" t="s">
        <v>148</v>
      </c>
    </row>
    <row r="102" spans="1:4" x14ac:dyDescent="0.2">
      <c r="A102" s="5" t="s">
        <v>149</v>
      </c>
      <c r="B102" s="6">
        <v>25</v>
      </c>
      <c r="C102" s="7" t="s">
        <v>150</v>
      </c>
      <c r="D102" s="5" t="s">
        <v>151</v>
      </c>
    </row>
    <row r="103" spans="1:4" ht="28" x14ac:dyDescent="0.2">
      <c r="A103" s="2" t="s">
        <v>152</v>
      </c>
      <c r="B103" s="3">
        <v>350</v>
      </c>
      <c r="C103" s="4" t="s">
        <v>153</v>
      </c>
      <c r="D103" s="2" t="s">
        <v>154</v>
      </c>
    </row>
    <row r="106" spans="1:4" ht="26" customHeight="1" x14ac:dyDescent="0.2">
      <c r="A106" s="23" t="s">
        <v>155</v>
      </c>
      <c r="B106" s="24"/>
      <c r="C106" s="24"/>
      <c r="D106" s="24"/>
    </row>
    <row r="107" spans="1:4" ht="20" customHeight="1" x14ac:dyDescent="0.2">
      <c r="A107" s="25" t="s">
        <v>156</v>
      </c>
      <c r="B107" s="24"/>
      <c r="C107" s="24"/>
      <c r="D107" s="24"/>
    </row>
    <row r="108" spans="1:4" ht="18" customHeight="1" x14ac:dyDescent="0.2">
      <c r="A108" s="1" t="s">
        <v>3</v>
      </c>
      <c r="B108" s="1" t="s">
        <v>4</v>
      </c>
      <c r="C108" s="1" t="s">
        <v>5</v>
      </c>
      <c r="D108" s="1" t="s">
        <v>6</v>
      </c>
    </row>
    <row r="109" spans="1:4" x14ac:dyDescent="0.2">
      <c r="A109" s="2" t="s">
        <v>157</v>
      </c>
      <c r="B109" s="3">
        <v>80</v>
      </c>
      <c r="C109" s="4" t="s">
        <v>8</v>
      </c>
      <c r="D109" s="2" t="s">
        <v>158</v>
      </c>
    </row>
    <row r="110" spans="1:4" x14ac:dyDescent="0.2">
      <c r="A110" s="5" t="s">
        <v>159</v>
      </c>
      <c r="B110" s="6">
        <v>150</v>
      </c>
      <c r="C110" s="7" t="s">
        <v>160</v>
      </c>
      <c r="D110" s="5" t="s">
        <v>161</v>
      </c>
    </row>
    <row r="111" spans="1:4" x14ac:dyDescent="0.2">
      <c r="A111" s="2" t="s">
        <v>162</v>
      </c>
      <c r="B111" s="3">
        <v>100</v>
      </c>
      <c r="C111" s="4" t="s">
        <v>65</v>
      </c>
      <c r="D111" s="2" t="s">
        <v>163</v>
      </c>
    </row>
    <row r="112" spans="1:4" x14ac:dyDescent="0.2">
      <c r="A112" s="5" t="s">
        <v>72</v>
      </c>
      <c r="B112" s="6">
        <v>25</v>
      </c>
      <c r="C112" s="7" t="s">
        <v>8</v>
      </c>
      <c r="D112" s="5" t="s">
        <v>164</v>
      </c>
    </row>
    <row r="113" spans="1:4" x14ac:dyDescent="0.2">
      <c r="A113" s="2" t="s">
        <v>165</v>
      </c>
      <c r="B113" s="3">
        <v>50</v>
      </c>
      <c r="C113" s="4" t="s">
        <v>14</v>
      </c>
      <c r="D113" s="2" t="s">
        <v>166</v>
      </c>
    </row>
    <row r="114" spans="1:4" x14ac:dyDescent="0.2">
      <c r="A114" s="5" t="s">
        <v>167</v>
      </c>
      <c r="B114" s="6">
        <v>40</v>
      </c>
      <c r="C114" s="7" t="s">
        <v>168</v>
      </c>
      <c r="D114" s="5" t="s">
        <v>169</v>
      </c>
    </row>
    <row r="115" spans="1:4" x14ac:dyDescent="0.2">
      <c r="A115" s="2" t="s">
        <v>170</v>
      </c>
      <c r="B115" s="3">
        <v>40</v>
      </c>
      <c r="C115" s="4" t="s">
        <v>14</v>
      </c>
      <c r="D115" s="2" t="s">
        <v>171</v>
      </c>
    </row>
    <row r="116" spans="1:4" x14ac:dyDescent="0.2">
      <c r="A116" s="5" t="s">
        <v>172</v>
      </c>
      <c r="B116" s="6">
        <v>60</v>
      </c>
      <c r="C116" s="7" t="s">
        <v>14</v>
      </c>
      <c r="D116" s="5" t="s">
        <v>83</v>
      </c>
    </row>
    <row r="117" spans="1:4" x14ac:dyDescent="0.2">
      <c r="A117" s="2" t="s">
        <v>173</v>
      </c>
      <c r="B117" s="3">
        <v>80</v>
      </c>
      <c r="C117" s="4" t="s">
        <v>14</v>
      </c>
      <c r="D117" s="2" t="s">
        <v>174</v>
      </c>
    </row>
    <row r="118" spans="1:4" x14ac:dyDescent="0.2">
      <c r="A118" s="5" t="s">
        <v>101</v>
      </c>
      <c r="B118" s="6">
        <v>120</v>
      </c>
      <c r="C118" s="7" t="s">
        <v>14</v>
      </c>
      <c r="D118" s="5" t="s">
        <v>102</v>
      </c>
    </row>
    <row r="119" spans="1:4" x14ac:dyDescent="0.2">
      <c r="A119" s="2" t="s">
        <v>175</v>
      </c>
      <c r="B119" s="3">
        <v>150</v>
      </c>
      <c r="C119" s="4" t="s">
        <v>14</v>
      </c>
      <c r="D119" s="2" t="s">
        <v>176</v>
      </c>
    </row>
    <row r="120" spans="1:4" x14ac:dyDescent="0.2">
      <c r="A120" s="5" t="s">
        <v>107</v>
      </c>
      <c r="B120" s="6">
        <v>80</v>
      </c>
      <c r="C120" s="7" t="s">
        <v>14</v>
      </c>
      <c r="D120" s="5" t="s">
        <v>177</v>
      </c>
    </row>
    <row r="121" spans="1:4" x14ac:dyDescent="0.2">
      <c r="A121" s="2" t="s">
        <v>178</v>
      </c>
      <c r="B121" s="3">
        <v>60</v>
      </c>
      <c r="C121" s="4" t="s">
        <v>14</v>
      </c>
      <c r="D121" s="2" t="s">
        <v>179</v>
      </c>
    </row>
    <row r="122" spans="1:4" x14ac:dyDescent="0.2">
      <c r="A122" s="5" t="s">
        <v>180</v>
      </c>
      <c r="B122" s="6">
        <v>50</v>
      </c>
      <c r="C122" s="7" t="s">
        <v>14</v>
      </c>
      <c r="D122" s="5" t="s">
        <v>181</v>
      </c>
    </row>
    <row r="123" spans="1:4" ht="20" customHeight="1" x14ac:dyDescent="0.2">
      <c r="A123" s="25" t="s">
        <v>182</v>
      </c>
      <c r="B123" s="24"/>
      <c r="C123" s="24"/>
      <c r="D123" s="24"/>
    </row>
    <row r="124" spans="1:4" ht="18" customHeight="1" x14ac:dyDescent="0.2">
      <c r="A124" s="1" t="s">
        <v>3</v>
      </c>
      <c r="B124" s="1" t="s">
        <v>4</v>
      </c>
      <c r="C124" s="1" t="s">
        <v>5</v>
      </c>
      <c r="D124" s="1" t="s">
        <v>6</v>
      </c>
    </row>
    <row r="125" spans="1:4" x14ac:dyDescent="0.2">
      <c r="A125" s="2" t="s">
        <v>10</v>
      </c>
      <c r="B125" s="3">
        <v>220</v>
      </c>
      <c r="C125" s="4" t="s">
        <v>11</v>
      </c>
      <c r="D125" s="2" t="s">
        <v>183</v>
      </c>
    </row>
    <row r="126" spans="1:4" x14ac:dyDescent="0.2">
      <c r="A126" s="5" t="s">
        <v>184</v>
      </c>
      <c r="B126" s="6">
        <v>100</v>
      </c>
      <c r="C126" s="7" t="s">
        <v>11</v>
      </c>
      <c r="D126" s="5" t="s">
        <v>185</v>
      </c>
    </row>
    <row r="127" spans="1:4" x14ac:dyDescent="0.2">
      <c r="A127" s="2" t="s">
        <v>186</v>
      </c>
      <c r="B127" s="3">
        <v>50</v>
      </c>
      <c r="C127" s="4" t="s">
        <v>14</v>
      </c>
      <c r="D127" s="2" t="s">
        <v>187</v>
      </c>
    </row>
    <row r="128" spans="1:4" ht="20" customHeight="1" x14ac:dyDescent="0.2">
      <c r="A128" s="25" t="s">
        <v>188</v>
      </c>
      <c r="B128" s="24"/>
      <c r="C128" s="24"/>
      <c r="D128" s="24"/>
    </row>
    <row r="129" spans="1:4" ht="18" customHeight="1" x14ac:dyDescent="0.2">
      <c r="A129" s="1" t="s">
        <v>3</v>
      </c>
      <c r="B129" s="1" t="s">
        <v>4</v>
      </c>
      <c r="C129" s="1" t="s">
        <v>5</v>
      </c>
      <c r="D129" s="1" t="s">
        <v>6</v>
      </c>
    </row>
    <row r="130" spans="1:4" x14ac:dyDescent="0.2">
      <c r="A130" s="2" t="s">
        <v>189</v>
      </c>
      <c r="B130" s="3">
        <v>400</v>
      </c>
      <c r="C130" s="4" t="s">
        <v>14</v>
      </c>
      <c r="D130" s="2" t="s">
        <v>22</v>
      </c>
    </row>
    <row r="131" spans="1:4" x14ac:dyDescent="0.2">
      <c r="A131" s="5" t="s">
        <v>23</v>
      </c>
      <c r="B131" s="6">
        <v>500</v>
      </c>
      <c r="C131" s="7" t="s">
        <v>14</v>
      </c>
      <c r="D131" s="5" t="s">
        <v>24</v>
      </c>
    </row>
    <row r="132" spans="1:4" ht="28" x14ac:dyDescent="0.2">
      <c r="A132" s="2" t="s">
        <v>25</v>
      </c>
      <c r="B132" s="3">
        <v>800</v>
      </c>
      <c r="C132" s="4" t="s">
        <v>14</v>
      </c>
      <c r="D132" s="2" t="s">
        <v>190</v>
      </c>
    </row>
    <row r="133" spans="1:4" x14ac:dyDescent="0.2">
      <c r="A133" s="5" t="s">
        <v>27</v>
      </c>
      <c r="B133" s="6">
        <v>1000</v>
      </c>
      <c r="C133" s="7" t="s">
        <v>14</v>
      </c>
      <c r="D133" s="5" t="s">
        <v>28</v>
      </c>
    </row>
    <row r="134" spans="1:4" x14ac:dyDescent="0.2">
      <c r="A134" s="2" t="s">
        <v>29</v>
      </c>
      <c r="B134" s="3">
        <v>1400</v>
      </c>
      <c r="C134" s="4" t="s">
        <v>14</v>
      </c>
      <c r="D134" s="2" t="s">
        <v>30</v>
      </c>
    </row>
    <row r="135" spans="1:4" ht="20" customHeight="1" x14ac:dyDescent="0.2">
      <c r="A135" s="25" t="s">
        <v>191</v>
      </c>
      <c r="B135" s="24"/>
      <c r="C135" s="24"/>
      <c r="D135" s="24"/>
    </row>
    <row r="136" spans="1:4" ht="18" customHeight="1" x14ac:dyDescent="0.2">
      <c r="A136" s="1" t="s">
        <v>3</v>
      </c>
      <c r="B136" s="1" t="s">
        <v>4</v>
      </c>
      <c r="C136" s="1" t="s">
        <v>5</v>
      </c>
      <c r="D136" s="1" t="s">
        <v>6</v>
      </c>
    </row>
    <row r="137" spans="1:4" x14ac:dyDescent="0.2">
      <c r="A137" s="2" t="s">
        <v>85</v>
      </c>
      <c r="B137" s="3">
        <v>0</v>
      </c>
      <c r="C137" s="4" t="s">
        <v>14</v>
      </c>
      <c r="D137" s="2" t="s">
        <v>192</v>
      </c>
    </row>
    <row r="138" spans="1:4" x14ac:dyDescent="0.2">
      <c r="A138" s="5" t="s">
        <v>193</v>
      </c>
      <c r="B138" s="6">
        <v>150</v>
      </c>
      <c r="C138" s="7" t="s">
        <v>14</v>
      </c>
      <c r="D138" s="5" t="s">
        <v>194</v>
      </c>
    </row>
    <row r="139" spans="1:4" x14ac:dyDescent="0.2">
      <c r="A139" s="2" t="s">
        <v>89</v>
      </c>
      <c r="B139" s="3">
        <v>150</v>
      </c>
      <c r="C139" s="4" t="s">
        <v>14</v>
      </c>
      <c r="D139" s="2" t="s">
        <v>195</v>
      </c>
    </row>
    <row r="140" spans="1:4" x14ac:dyDescent="0.2">
      <c r="A140" s="5" t="s">
        <v>91</v>
      </c>
      <c r="B140" s="6">
        <v>300</v>
      </c>
      <c r="C140" s="7" t="s">
        <v>14</v>
      </c>
      <c r="D140" s="5" t="s">
        <v>196</v>
      </c>
    </row>
    <row r="141" spans="1:4" x14ac:dyDescent="0.2">
      <c r="A141" s="2" t="s">
        <v>197</v>
      </c>
      <c r="B141" s="3">
        <v>100</v>
      </c>
      <c r="C141" s="4" t="s">
        <v>14</v>
      </c>
      <c r="D141" s="2" t="s">
        <v>198</v>
      </c>
    </row>
    <row r="142" spans="1:4" ht="28" x14ac:dyDescent="0.2">
      <c r="A142" s="5" t="s">
        <v>199</v>
      </c>
      <c r="B142" s="6">
        <v>60</v>
      </c>
      <c r="C142" s="7" t="s">
        <v>14</v>
      </c>
      <c r="D142" s="5" t="s">
        <v>200</v>
      </c>
    </row>
    <row r="143" spans="1:4" x14ac:dyDescent="0.2">
      <c r="A143" s="2" t="s">
        <v>201</v>
      </c>
      <c r="B143" s="3">
        <v>50</v>
      </c>
      <c r="C143" s="4" t="s">
        <v>14</v>
      </c>
      <c r="D143" s="2" t="s">
        <v>202</v>
      </c>
    </row>
    <row r="144" spans="1:4" ht="20" customHeight="1" x14ac:dyDescent="0.2">
      <c r="A144" s="25" t="s">
        <v>203</v>
      </c>
      <c r="B144" s="24"/>
      <c r="C144" s="24"/>
      <c r="D144" s="24"/>
    </row>
    <row r="145" spans="1:4" ht="18" customHeight="1" x14ac:dyDescent="0.2">
      <c r="A145" s="1" t="s">
        <v>3</v>
      </c>
      <c r="B145" s="1" t="s">
        <v>4</v>
      </c>
      <c r="C145" s="1" t="s">
        <v>5</v>
      </c>
      <c r="D145" s="1" t="s">
        <v>6</v>
      </c>
    </row>
    <row r="146" spans="1:4" x14ac:dyDescent="0.2">
      <c r="A146" s="2" t="s">
        <v>140</v>
      </c>
      <c r="B146" s="3">
        <v>400</v>
      </c>
      <c r="C146" s="4" t="s">
        <v>14</v>
      </c>
      <c r="D146" s="2" t="s">
        <v>204</v>
      </c>
    </row>
    <row r="147" spans="1:4" ht="28" x14ac:dyDescent="0.2">
      <c r="A147" s="5" t="s">
        <v>13</v>
      </c>
      <c r="B147" s="6">
        <v>400</v>
      </c>
      <c r="C147" s="7" t="s">
        <v>14</v>
      </c>
      <c r="D147" s="5" t="s">
        <v>205</v>
      </c>
    </row>
    <row r="148" spans="1:4" x14ac:dyDescent="0.2">
      <c r="A148" s="2" t="s">
        <v>16</v>
      </c>
      <c r="B148" s="3">
        <v>150</v>
      </c>
      <c r="C148" s="4" t="s">
        <v>14</v>
      </c>
      <c r="D148" s="2" t="s">
        <v>17</v>
      </c>
    </row>
    <row r="149" spans="1:4" x14ac:dyDescent="0.2">
      <c r="A149" s="5" t="s">
        <v>206</v>
      </c>
      <c r="B149" s="6">
        <v>25</v>
      </c>
      <c r="C149" s="7" t="s">
        <v>150</v>
      </c>
      <c r="D149" s="5" t="s">
        <v>207</v>
      </c>
    </row>
    <row r="150" spans="1:4" x14ac:dyDescent="0.2">
      <c r="A150" s="2" t="s">
        <v>208</v>
      </c>
      <c r="B150" s="3">
        <v>60</v>
      </c>
      <c r="C150" s="4" t="s">
        <v>14</v>
      </c>
      <c r="D150" s="2" t="s">
        <v>209</v>
      </c>
    </row>
    <row r="151" spans="1:4" ht="28" x14ac:dyDescent="0.2">
      <c r="A151" s="5" t="s">
        <v>69</v>
      </c>
      <c r="B151" s="6">
        <v>400</v>
      </c>
      <c r="C151" s="7" t="s">
        <v>14</v>
      </c>
      <c r="D151" s="5" t="s">
        <v>70</v>
      </c>
    </row>
    <row r="152" spans="1:4" x14ac:dyDescent="0.2">
      <c r="A152" s="2" t="s">
        <v>67</v>
      </c>
      <c r="B152" s="3">
        <v>250</v>
      </c>
      <c r="C152" s="4" t="s">
        <v>210</v>
      </c>
      <c r="D152" s="2" t="s">
        <v>211</v>
      </c>
    </row>
    <row r="153" spans="1:4" x14ac:dyDescent="0.2">
      <c r="A153" s="5" t="s">
        <v>152</v>
      </c>
      <c r="B153" s="6">
        <v>350</v>
      </c>
      <c r="C153" s="7" t="s">
        <v>153</v>
      </c>
      <c r="D153" s="5" t="s">
        <v>212</v>
      </c>
    </row>
    <row r="154" spans="1:4" ht="22" customHeight="1" x14ac:dyDescent="0.2">
      <c r="A154" s="28" t="s">
        <v>213</v>
      </c>
      <c r="B154" s="24"/>
      <c r="C154" s="24"/>
      <c r="D154" s="24"/>
    </row>
  </sheetData>
  <mergeCells count="21">
    <mergeCell ref="A154:D154"/>
    <mergeCell ref="A3:D3"/>
    <mergeCell ref="A95:D95"/>
    <mergeCell ref="A2:D2"/>
    <mergeCell ref="A1:D1"/>
    <mergeCell ref="A32:B32"/>
    <mergeCell ref="A25:D25"/>
    <mergeCell ref="A41:D41"/>
    <mergeCell ref="A128:D128"/>
    <mergeCell ref="A18:D18"/>
    <mergeCell ref="A92:B92"/>
    <mergeCell ref="A106:D106"/>
    <mergeCell ref="A144:D144"/>
    <mergeCell ref="A135:D135"/>
    <mergeCell ref="A10:D10"/>
    <mergeCell ref="A68:D68"/>
    <mergeCell ref="A34:D34"/>
    <mergeCell ref="A59:D59"/>
    <mergeCell ref="A49:D49"/>
    <mergeCell ref="A107:D107"/>
    <mergeCell ref="A123:D1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/>
  </sheetViews>
  <sheetFormatPr baseColWidth="10" defaultColWidth="8.83203125" defaultRowHeight="15" x14ac:dyDescent="0.2"/>
  <cols>
    <col min="1" max="1" width="28" customWidth="1"/>
    <col min="2" max="3" width="22" customWidth="1"/>
    <col min="4" max="4" width="18" customWidth="1"/>
    <col min="5" max="5" width="45" customWidth="1"/>
  </cols>
  <sheetData>
    <row r="1" spans="1:5" ht="28" customHeight="1" x14ac:dyDescent="0.2">
      <c r="A1" s="31" t="s">
        <v>214</v>
      </c>
      <c r="B1" s="24"/>
      <c r="C1" s="24"/>
      <c r="D1" s="24"/>
      <c r="E1" s="24"/>
    </row>
    <row r="2" spans="1:5" x14ac:dyDescent="0.2">
      <c r="A2" s="30" t="s">
        <v>215</v>
      </c>
      <c r="B2" s="24"/>
      <c r="C2" s="24"/>
      <c r="D2" s="24"/>
      <c r="E2" s="24"/>
    </row>
    <row r="3" spans="1:5" ht="20" customHeight="1" x14ac:dyDescent="0.2">
      <c r="A3" s="25" t="s">
        <v>216</v>
      </c>
      <c r="B3" s="24"/>
      <c r="C3" s="24"/>
      <c r="D3" s="24"/>
    </row>
    <row r="4" spans="1:5" ht="18" customHeight="1" x14ac:dyDescent="0.2">
      <c r="A4" s="1" t="s">
        <v>217</v>
      </c>
      <c r="B4" s="1" t="s">
        <v>218</v>
      </c>
      <c r="C4" s="1" t="s">
        <v>219</v>
      </c>
      <c r="D4" s="1" t="s">
        <v>220</v>
      </c>
      <c r="E4" s="1" t="s">
        <v>221</v>
      </c>
    </row>
    <row r="5" spans="1:5" x14ac:dyDescent="0.2">
      <c r="A5" s="2" t="s">
        <v>222</v>
      </c>
      <c r="B5" s="3">
        <v>300</v>
      </c>
      <c r="C5" s="4">
        <v>600</v>
      </c>
      <c r="D5" s="2">
        <v>400</v>
      </c>
      <c r="E5" s="4" t="s">
        <v>223</v>
      </c>
    </row>
    <row r="6" spans="1:5" x14ac:dyDescent="0.2">
      <c r="A6" s="5" t="s">
        <v>224</v>
      </c>
      <c r="B6" s="7" t="s">
        <v>225</v>
      </c>
      <c r="C6" s="7" t="s">
        <v>226</v>
      </c>
      <c r="D6" s="5" t="s">
        <v>227</v>
      </c>
      <c r="E6" s="7" t="s">
        <v>228</v>
      </c>
    </row>
    <row r="7" spans="1:5" x14ac:dyDescent="0.2">
      <c r="A7" s="2" t="s">
        <v>229</v>
      </c>
      <c r="B7" s="3">
        <v>300</v>
      </c>
      <c r="C7" s="4">
        <v>700</v>
      </c>
      <c r="D7" s="2">
        <v>500</v>
      </c>
      <c r="E7" s="4" t="s">
        <v>230</v>
      </c>
    </row>
    <row r="8" spans="1:5" x14ac:dyDescent="0.2">
      <c r="A8" s="5" t="s">
        <v>231</v>
      </c>
      <c r="B8" s="7" t="s">
        <v>232</v>
      </c>
      <c r="C8" s="7" t="s">
        <v>233</v>
      </c>
      <c r="D8" s="5" t="s">
        <v>234</v>
      </c>
      <c r="E8" s="7" t="s">
        <v>235</v>
      </c>
    </row>
    <row r="9" spans="1:5" x14ac:dyDescent="0.2">
      <c r="A9" s="2" t="s">
        <v>236</v>
      </c>
      <c r="B9" s="3">
        <v>600</v>
      </c>
      <c r="C9" s="4">
        <v>1400</v>
      </c>
      <c r="D9" s="2">
        <v>900</v>
      </c>
      <c r="E9" s="4" t="s">
        <v>237</v>
      </c>
    </row>
    <row r="10" spans="1:5" x14ac:dyDescent="0.2">
      <c r="A10" s="5" t="s">
        <v>238</v>
      </c>
      <c r="B10" s="6">
        <v>1000</v>
      </c>
      <c r="C10" s="7">
        <v>2500</v>
      </c>
      <c r="D10" s="5">
        <v>1600</v>
      </c>
      <c r="E10" s="7" t="s">
        <v>239</v>
      </c>
    </row>
    <row r="11" spans="1:5" x14ac:dyDescent="0.2">
      <c r="A11" s="2" t="s">
        <v>240</v>
      </c>
      <c r="B11" s="3">
        <v>1800</v>
      </c>
      <c r="C11" s="4">
        <v>4000</v>
      </c>
      <c r="D11" s="2">
        <v>2600</v>
      </c>
      <c r="E11" s="4" t="s">
        <v>241</v>
      </c>
    </row>
    <row r="13" spans="1:5" ht="20" customHeight="1" x14ac:dyDescent="0.2">
      <c r="A13" s="25" t="s">
        <v>242</v>
      </c>
      <c r="B13" s="24"/>
      <c r="C13" s="24"/>
      <c r="D13" s="24"/>
    </row>
    <row r="14" spans="1:5" ht="18" customHeight="1" x14ac:dyDescent="0.2">
      <c r="A14" s="1" t="s">
        <v>19</v>
      </c>
      <c r="B14" s="1" t="s">
        <v>218</v>
      </c>
      <c r="C14" s="1" t="s">
        <v>219</v>
      </c>
      <c r="D14" s="1" t="s">
        <v>220</v>
      </c>
      <c r="E14" s="1" t="s">
        <v>221</v>
      </c>
    </row>
    <row r="15" spans="1:5" x14ac:dyDescent="0.2">
      <c r="A15" s="2" t="s">
        <v>189</v>
      </c>
      <c r="B15" s="3">
        <v>200</v>
      </c>
      <c r="C15" s="4">
        <v>500</v>
      </c>
      <c r="D15" s="2">
        <v>350</v>
      </c>
      <c r="E15" s="4" t="s">
        <v>243</v>
      </c>
    </row>
    <row r="16" spans="1:5" x14ac:dyDescent="0.2">
      <c r="A16" s="5" t="s">
        <v>244</v>
      </c>
      <c r="B16" s="6">
        <v>300</v>
      </c>
      <c r="C16" s="7">
        <v>800</v>
      </c>
      <c r="D16" s="5">
        <v>550</v>
      </c>
      <c r="E16" s="7" t="s">
        <v>245</v>
      </c>
    </row>
    <row r="17" spans="1:5" x14ac:dyDescent="0.2">
      <c r="A17" s="2" t="s">
        <v>246</v>
      </c>
      <c r="B17" s="3">
        <v>800</v>
      </c>
      <c r="C17" s="4">
        <v>1200</v>
      </c>
      <c r="D17" s="2">
        <v>950</v>
      </c>
      <c r="E17" s="4" t="s">
        <v>247</v>
      </c>
    </row>
    <row r="18" spans="1:5" x14ac:dyDescent="0.2">
      <c r="A18" s="5" t="s">
        <v>29</v>
      </c>
      <c r="B18" s="6">
        <v>1000</v>
      </c>
      <c r="C18" s="7">
        <v>1500</v>
      </c>
      <c r="D18" s="5">
        <v>1200</v>
      </c>
      <c r="E18" s="7" t="s">
        <v>248</v>
      </c>
    </row>
    <row r="19" spans="1:5" x14ac:dyDescent="0.2">
      <c r="A19" s="2" t="s">
        <v>249</v>
      </c>
      <c r="B19" s="3">
        <v>300</v>
      </c>
      <c r="C19" s="4">
        <v>500</v>
      </c>
      <c r="D19" s="2">
        <v>400</v>
      </c>
      <c r="E19" s="4" t="s">
        <v>250</v>
      </c>
    </row>
    <row r="21" spans="1:5" ht="20" customHeight="1" x14ac:dyDescent="0.2">
      <c r="A21" s="25" t="s">
        <v>251</v>
      </c>
      <c r="B21" s="24"/>
      <c r="C21" s="24"/>
      <c r="D21" s="24"/>
    </row>
    <row r="22" spans="1:5" ht="18" customHeight="1" x14ac:dyDescent="0.2">
      <c r="A22" s="1" t="s">
        <v>19</v>
      </c>
      <c r="B22" s="1" t="s">
        <v>218</v>
      </c>
      <c r="C22" s="1" t="s">
        <v>219</v>
      </c>
      <c r="D22" s="1" t="s">
        <v>220</v>
      </c>
      <c r="E22" s="1" t="s">
        <v>221</v>
      </c>
    </row>
    <row r="23" spans="1:5" ht="28" x14ac:dyDescent="0.2">
      <c r="A23" s="2" t="s">
        <v>252</v>
      </c>
      <c r="B23" s="3">
        <v>300</v>
      </c>
      <c r="C23" s="4">
        <v>800</v>
      </c>
      <c r="D23" s="2">
        <v>500</v>
      </c>
      <c r="E23" s="4" t="s">
        <v>253</v>
      </c>
    </row>
    <row r="24" spans="1:5" x14ac:dyDescent="0.2">
      <c r="A24" s="5" t="s">
        <v>254</v>
      </c>
      <c r="B24" s="6">
        <v>800</v>
      </c>
      <c r="C24" s="7">
        <v>1500</v>
      </c>
      <c r="D24" s="5">
        <v>1100</v>
      </c>
      <c r="E24" s="7" t="s">
        <v>255</v>
      </c>
    </row>
    <row r="25" spans="1:5" x14ac:dyDescent="0.2">
      <c r="A25" s="2" t="s">
        <v>256</v>
      </c>
      <c r="B25" s="3">
        <v>150</v>
      </c>
      <c r="C25" s="4">
        <v>350</v>
      </c>
      <c r="D25" s="2">
        <v>220</v>
      </c>
      <c r="E25" s="4" t="s">
        <v>257</v>
      </c>
    </row>
    <row r="26" spans="1:5" x14ac:dyDescent="0.2">
      <c r="A26" s="5" t="s">
        <v>258</v>
      </c>
      <c r="B26" s="6">
        <v>300</v>
      </c>
      <c r="C26" s="7">
        <v>800</v>
      </c>
      <c r="D26" s="5">
        <v>500</v>
      </c>
      <c r="E26" s="7" t="s">
        <v>259</v>
      </c>
    </row>
    <row r="27" spans="1:5" x14ac:dyDescent="0.2">
      <c r="A27" s="2" t="s">
        <v>260</v>
      </c>
      <c r="B27" s="3">
        <v>400</v>
      </c>
      <c r="C27" s="4">
        <v>1200</v>
      </c>
      <c r="D27" s="2">
        <v>700</v>
      </c>
      <c r="E27" s="4" t="s">
        <v>241</v>
      </c>
    </row>
    <row r="29" spans="1:5" ht="20" customHeight="1" x14ac:dyDescent="0.2">
      <c r="A29" s="25" t="s">
        <v>261</v>
      </c>
      <c r="B29" s="24"/>
      <c r="C29" s="24"/>
      <c r="D29" s="24"/>
    </row>
    <row r="30" spans="1:5" ht="18" customHeight="1" x14ac:dyDescent="0.2">
      <c r="A30" s="1" t="s">
        <v>262</v>
      </c>
      <c r="B30" s="1" t="s">
        <v>218</v>
      </c>
      <c r="C30" s="1" t="s">
        <v>219</v>
      </c>
      <c r="D30" s="1" t="s">
        <v>220</v>
      </c>
      <c r="E30" s="1" t="s">
        <v>221</v>
      </c>
    </row>
    <row r="31" spans="1:5" x14ac:dyDescent="0.2">
      <c r="A31" s="2" t="s">
        <v>263</v>
      </c>
      <c r="B31" s="3">
        <v>4000</v>
      </c>
      <c r="C31" s="4">
        <v>7000</v>
      </c>
      <c r="D31" s="2">
        <v>5500</v>
      </c>
      <c r="E31" s="4" t="s">
        <v>264</v>
      </c>
    </row>
    <row r="32" spans="1:5" ht="28" x14ac:dyDescent="0.2">
      <c r="A32" s="5" t="s">
        <v>265</v>
      </c>
      <c r="B32" s="6">
        <v>5000</v>
      </c>
      <c r="C32" s="7">
        <v>9000</v>
      </c>
      <c r="D32" s="5">
        <v>7000</v>
      </c>
      <c r="E32" s="7" t="s">
        <v>237</v>
      </c>
    </row>
    <row r="33" spans="1:5" ht="28" x14ac:dyDescent="0.2">
      <c r="A33" s="2" t="s">
        <v>266</v>
      </c>
      <c r="B33" s="3">
        <v>7000</v>
      </c>
      <c r="C33" s="4">
        <v>12000</v>
      </c>
      <c r="D33" s="2">
        <v>9000</v>
      </c>
      <c r="E33" s="4" t="s">
        <v>267</v>
      </c>
    </row>
    <row r="34" spans="1:5" x14ac:dyDescent="0.2">
      <c r="A34" s="5" t="s">
        <v>268</v>
      </c>
      <c r="B34" s="6">
        <v>2500</v>
      </c>
      <c r="C34" s="7">
        <v>5000</v>
      </c>
      <c r="D34" s="5">
        <v>3500</v>
      </c>
      <c r="E34" s="7" t="s">
        <v>253</v>
      </c>
    </row>
    <row r="35" spans="1:5" x14ac:dyDescent="0.2">
      <c r="A35" s="2" t="s">
        <v>269</v>
      </c>
      <c r="B35" s="3">
        <v>4000</v>
      </c>
      <c r="C35" s="4">
        <v>8000</v>
      </c>
      <c r="D35" s="2">
        <v>6000</v>
      </c>
      <c r="E35" s="4" t="s">
        <v>270</v>
      </c>
    </row>
    <row r="36" spans="1:5" x14ac:dyDescent="0.2">
      <c r="A36" s="5" t="s">
        <v>271</v>
      </c>
      <c r="B36" s="6">
        <v>12000</v>
      </c>
      <c r="C36" s="7">
        <v>22000</v>
      </c>
      <c r="D36" s="5">
        <v>16000</v>
      </c>
      <c r="E36" s="7" t="s">
        <v>259</v>
      </c>
    </row>
  </sheetData>
  <mergeCells count="6">
    <mergeCell ref="A2:E2"/>
    <mergeCell ref="A3:D3"/>
    <mergeCell ref="A21:D21"/>
    <mergeCell ref="A29:D29"/>
    <mergeCell ref="A1:E1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baseColWidth="10" defaultColWidth="8.83203125" defaultRowHeight="15" x14ac:dyDescent="0.2"/>
  <cols>
    <col min="1" max="1" width="30" customWidth="1"/>
    <col min="2" max="4" width="20" customWidth="1"/>
    <col min="5" max="5" width="30" customWidth="1"/>
  </cols>
  <sheetData>
    <row r="1" spans="1:5" ht="28" customHeight="1" x14ac:dyDescent="0.2">
      <c r="A1" s="31" t="s">
        <v>272</v>
      </c>
      <c r="B1" s="24"/>
      <c r="C1" s="24"/>
      <c r="D1" s="24"/>
      <c r="E1" s="24"/>
    </row>
    <row r="2" spans="1:5" ht="18" customHeight="1" x14ac:dyDescent="0.2">
      <c r="A2" s="1" t="s">
        <v>273</v>
      </c>
      <c r="B2" s="1" t="s">
        <v>274</v>
      </c>
      <c r="C2" s="1" t="s">
        <v>275</v>
      </c>
      <c r="D2" s="1" t="s">
        <v>276</v>
      </c>
      <c r="E2" s="1" t="s">
        <v>277</v>
      </c>
    </row>
    <row r="3" spans="1:5" x14ac:dyDescent="0.2">
      <c r="A3" s="2" t="s">
        <v>278</v>
      </c>
      <c r="B3" s="4" t="s">
        <v>279</v>
      </c>
      <c r="C3" s="4" t="s">
        <v>280</v>
      </c>
      <c r="D3" s="4" t="s">
        <v>281</v>
      </c>
      <c r="E3" s="12" t="s">
        <v>282</v>
      </c>
    </row>
    <row r="4" spans="1:5" x14ac:dyDescent="0.2">
      <c r="A4" s="5" t="s">
        <v>283</v>
      </c>
      <c r="B4" s="7" t="s">
        <v>284</v>
      </c>
      <c r="C4" s="7" t="s">
        <v>285</v>
      </c>
      <c r="D4" s="7" t="s">
        <v>286</v>
      </c>
      <c r="E4" s="13" t="s">
        <v>287</v>
      </c>
    </row>
    <row r="5" spans="1:5" x14ac:dyDescent="0.2">
      <c r="A5" s="2" t="s">
        <v>55</v>
      </c>
      <c r="B5" s="4" t="s">
        <v>288</v>
      </c>
      <c r="C5" s="4" t="s">
        <v>289</v>
      </c>
      <c r="D5" s="4" t="s">
        <v>290</v>
      </c>
      <c r="E5" s="12" t="s">
        <v>291</v>
      </c>
    </row>
    <row r="6" spans="1:5" x14ac:dyDescent="0.2">
      <c r="A6" s="5" t="s">
        <v>292</v>
      </c>
      <c r="B6" s="7" t="s">
        <v>290</v>
      </c>
      <c r="C6" s="7" t="s">
        <v>289</v>
      </c>
      <c r="D6" s="7" t="s">
        <v>293</v>
      </c>
      <c r="E6" s="13" t="s">
        <v>294</v>
      </c>
    </row>
    <row r="7" spans="1:5" x14ac:dyDescent="0.2">
      <c r="A7" s="2" t="s">
        <v>295</v>
      </c>
      <c r="B7" s="4" t="s">
        <v>288</v>
      </c>
      <c r="C7" s="4" t="s">
        <v>296</v>
      </c>
      <c r="D7" s="4" t="s">
        <v>297</v>
      </c>
      <c r="E7" s="12" t="s">
        <v>298</v>
      </c>
    </row>
    <row r="8" spans="1:5" x14ac:dyDescent="0.2">
      <c r="A8" s="5" t="s">
        <v>299</v>
      </c>
      <c r="B8" s="7" t="s">
        <v>300</v>
      </c>
      <c r="C8" s="7" t="s">
        <v>301</v>
      </c>
      <c r="D8" s="7" t="s">
        <v>302</v>
      </c>
      <c r="E8" s="13" t="s">
        <v>303</v>
      </c>
    </row>
    <row r="10" spans="1:5" ht="30" customHeight="1" x14ac:dyDescent="0.2">
      <c r="A10" s="28" t="s">
        <v>304</v>
      </c>
      <c r="B10" s="24"/>
      <c r="C10" s="24"/>
      <c r="D10" s="24"/>
      <c r="E10" s="24"/>
    </row>
    <row r="12" spans="1:5" x14ac:dyDescent="0.2">
      <c r="A12" s="2" t="s">
        <v>305</v>
      </c>
      <c r="B12" s="4" t="s">
        <v>285</v>
      </c>
      <c r="C12" s="4" t="s">
        <v>306</v>
      </c>
      <c r="D12" s="4" t="s">
        <v>289</v>
      </c>
      <c r="E12" s="12" t="s">
        <v>307</v>
      </c>
    </row>
    <row r="13" spans="1:5" x14ac:dyDescent="0.2">
      <c r="A13" s="5" t="s">
        <v>308</v>
      </c>
      <c r="B13" s="7" t="s">
        <v>309</v>
      </c>
      <c r="C13" s="7" t="s">
        <v>310</v>
      </c>
      <c r="D13" s="7" t="s">
        <v>280</v>
      </c>
      <c r="E13" s="13" t="s">
        <v>311</v>
      </c>
    </row>
    <row r="14" spans="1:5" x14ac:dyDescent="0.2">
      <c r="A14" s="2" t="s">
        <v>134</v>
      </c>
      <c r="B14" s="4" t="s">
        <v>296</v>
      </c>
      <c r="C14" s="4" t="s">
        <v>281</v>
      </c>
      <c r="D14" s="4" t="s">
        <v>286</v>
      </c>
      <c r="E14" s="12" t="s">
        <v>312</v>
      </c>
    </row>
    <row r="15" spans="1:5" x14ac:dyDescent="0.2">
      <c r="A15" s="5" t="s">
        <v>313</v>
      </c>
      <c r="B15" s="7" t="s">
        <v>289</v>
      </c>
      <c r="C15" s="7" t="s">
        <v>285</v>
      </c>
      <c r="D15" s="7" t="s">
        <v>297</v>
      </c>
      <c r="E15" s="13" t="s">
        <v>314</v>
      </c>
    </row>
    <row r="16" spans="1:5" x14ac:dyDescent="0.2">
      <c r="A16" s="2" t="s">
        <v>197</v>
      </c>
      <c r="B16" s="4" t="s">
        <v>306</v>
      </c>
      <c r="C16" s="4" t="s">
        <v>280</v>
      </c>
      <c r="D16" s="4" t="s">
        <v>296</v>
      </c>
      <c r="E16" s="12" t="s">
        <v>315</v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Bambridge Pricing Formula</vt:lpstr>
      <vt:lpstr>Market Research 2025-26</vt:lpstr>
      <vt:lpstr>Bambridge vs 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Bambridge</cp:lastModifiedBy>
  <dcterms:created xsi:type="dcterms:W3CDTF">2026-06-09T16:34:10Z</dcterms:created>
  <dcterms:modified xsi:type="dcterms:W3CDTF">2026-06-10T16:31:16Z</dcterms:modified>
</cp:coreProperties>
</file>